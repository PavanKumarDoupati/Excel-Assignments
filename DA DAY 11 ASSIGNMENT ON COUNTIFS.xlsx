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7DB41D6D-2C02-425E-A0D0-29AB3A484260}" xr6:coauthVersionLast="47" xr6:coauthVersionMax="47" xr10:uidLastSave="{00000000-0000-0000-0000-000000000000}"/>
  <bookViews>
    <workbookView xWindow="-110" yWindow="-110" windowWidth="19420" windowHeight="11020" xr2:uid="{27459944-7BA1-4C4F-8403-19D164033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8" i="1"/>
  <c r="G5" i="1"/>
  <c r="H2" i="1"/>
  <c r="G2" i="1"/>
</calcChain>
</file>

<file path=xl/sharedStrings.xml><?xml version="1.0" encoding="utf-8"?>
<sst xmlns="http://schemas.openxmlformats.org/spreadsheetml/2006/main" count="171" uniqueCount="34">
  <si>
    <t>Order ID</t>
  </si>
  <si>
    <t>Region</t>
  </si>
  <si>
    <t>Category</t>
  </si>
  <si>
    <t>Quantity</t>
  </si>
  <si>
    <t>Product</t>
  </si>
  <si>
    <t>Payment Mode</t>
  </si>
  <si>
    <t>West</t>
  </si>
  <si>
    <t>Grocery</t>
  </si>
  <si>
    <t>Basmati Rice 5kg</t>
  </si>
  <si>
    <t>Net Banking</t>
  </si>
  <si>
    <t>South</t>
  </si>
  <si>
    <t>Stationery</t>
  </si>
  <si>
    <t>Card</t>
  </si>
  <si>
    <t>North</t>
  </si>
  <si>
    <t>Home Decor</t>
  </si>
  <si>
    <t>SmartPhone Case</t>
  </si>
  <si>
    <t>Cash</t>
  </si>
  <si>
    <t>Wireless Mouse</t>
  </si>
  <si>
    <t>East</t>
  </si>
  <si>
    <t>Bluetooth Speaker</t>
  </si>
  <si>
    <t>SmartWatch Pro</t>
  </si>
  <si>
    <t>UPI</t>
  </si>
  <si>
    <t>A4 Notebook Pack</t>
  </si>
  <si>
    <t>Apparel</t>
  </si>
  <si>
    <t>Electronics</t>
  </si>
  <si>
    <t>SmartHome Hub</t>
  </si>
  <si>
    <t>Wall Clock</t>
  </si>
  <si>
    <t>Gel Pen Set</t>
  </si>
  <si>
    <t>Cotton T-Shirt</t>
  </si>
  <si>
    <t>Count East Region orders</t>
  </si>
  <si>
    <t>Count orders where quan &gt; 50</t>
  </si>
  <si>
    <t>Count no of orders from east and where elect</t>
  </si>
  <si>
    <t>Count how many products starts with "smart" word</t>
  </si>
  <si>
    <t>Count How Many Orders from east region via UPI where quant &gt;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</si>
</sst>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9" tint="0.39997558519241921"/>
      <name val="Calibri"/>
      <family val="2"/>
    </font>
    <font>
      <sz val="11"/>
      <color theme="9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81C7-8815-4158-8C64-1104AE18E1DF}">
  <dimension ref="A1:I41"/>
  <sheetViews>
    <sheetView tabSelected="1" workbookViewId="0">
      <selection activeCell="G12" sqref="G12"/>
    </sheetView>
  </sheetViews>
  <sheetFormatPr defaultRowHeight="14.5" x14ac:dyDescent="0.35"/>
  <cols>
    <col min="1" max="1" width="10.1796875" customWidth="1"/>
    <col min="2" max="2" width="9.90625" customWidth="1"/>
    <col min="3" max="3" width="14.6328125" customWidth="1"/>
    <col min="4" max="4" width="11" customWidth="1"/>
    <col min="5" max="5" width="19.08984375" customWidth="1"/>
    <col min="6" max="6" width="16.81640625" customWidth="1"/>
    <col min="7" max="7" width="31.6328125" customWidth="1"/>
    <col min="8" max="8" width="29.36328125" customWidth="1"/>
  </cols>
  <sheetData>
    <row r="1" spans="1:9" ht="15" thickBot="1" x14ac:dyDescent="0.4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29</v>
      </c>
      <c r="H1" s="6" t="s">
        <v>30</v>
      </c>
    </row>
    <row r="2" spans="1:9" ht="15" thickBot="1" x14ac:dyDescent="0.4">
      <c r="A2" s="1">
        <v>6001</v>
      </c>
      <c r="B2" s="2" t="s">
        <v>6</v>
      </c>
      <c r="C2" s="2" t="s">
        <v>7</v>
      </c>
      <c r="D2" s="2">
        <v>100</v>
      </c>
      <c r="E2" s="2" t="s">
        <v>8</v>
      </c>
      <c r="F2" s="2" t="s">
        <v>9</v>
      </c>
      <c r="G2" s="5">
        <f>COUNTIF(B:B,"East")</f>
        <v>9</v>
      </c>
      <c r="H2">
        <f>COUNTIF(D:D,"&gt;50")</f>
        <v>20</v>
      </c>
    </row>
    <row r="3" spans="1:9" ht="15" thickBot="1" x14ac:dyDescent="0.4">
      <c r="A3" s="1">
        <v>6002</v>
      </c>
      <c r="B3" s="2" t="s">
        <v>10</v>
      </c>
      <c r="C3" s="2" t="s">
        <v>11</v>
      </c>
      <c r="D3" s="2">
        <v>66</v>
      </c>
      <c r="E3" s="2" t="s">
        <v>8</v>
      </c>
      <c r="F3" s="2" t="s">
        <v>12</v>
      </c>
    </row>
    <row r="4" spans="1:9" ht="15" thickBot="1" x14ac:dyDescent="0.4">
      <c r="A4" s="1">
        <v>6003</v>
      </c>
      <c r="B4" s="2" t="s">
        <v>13</v>
      </c>
      <c r="C4" s="2" t="s">
        <v>14</v>
      </c>
      <c r="D4" s="2">
        <v>39</v>
      </c>
      <c r="E4" s="2" t="s">
        <v>15</v>
      </c>
      <c r="F4" s="2" t="s">
        <v>16</v>
      </c>
      <c r="G4" s="7" t="s">
        <v>31</v>
      </c>
      <c r="H4" s="8"/>
    </row>
    <row r="5" spans="1:9" ht="15" thickBot="1" x14ac:dyDescent="0.4">
      <c r="A5" s="1">
        <v>6004</v>
      </c>
      <c r="B5" s="2" t="s">
        <v>13</v>
      </c>
      <c r="C5" s="2" t="s">
        <v>7</v>
      </c>
      <c r="D5" s="2">
        <v>51</v>
      </c>
      <c r="E5" s="2" t="s">
        <v>8</v>
      </c>
      <c r="F5" s="2" t="s">
        <v>12</v>
      </c>
      <c r="G5">
        <f>COUNTIFS(B:B,"East",C:C,"Electronics")</f>
        <v>0</v>
      </c>
    </row>
    <row r="6" spans="1:9" ht="15" thickBot="1" x14ac:dyDescent="0.4">
      <c r="A6" s="1">
        <v>6005</v>
      </c>
      <c r="B6" s="2" t="s">
        <v>13</v>
      </c>
      <c r="C6" s="2" t="s">
        <v>7</v>
      </c>
      <c r="D6" s="2">
        <v>9</v>
      </c>
      <c r="E6" s="2" t="s">
        <v>17</v>
      </c>
      <c r="F6" s="2" t="s">
        <v>16</v>
      </c>
    </row>
    <row r="7" spans="1:9" ht="15" thickBot="1" x14ac:dyDescent="0.4">
      <c r="A7" s="1">
        <v>6006</v>
      </c>
      <c r="B7" s="2" t="s">
        <v>10</v>
      </c>
      <c r="C7" s="2" t="s">
        <v>11</v>
      </c>
      <c r="D7" s="2">
        <v>77</v>
      </c>
      <c r="E7" s="2" t="s">
        <v>17</v>
      </c>
      <c r="F7" s="2" t="s">
        <v>9</v>
      </c>
      <c r="G7" s="7" t="s">
        <v>32</v>
      </c>
      <c r="H7" s="8"/>
    </row>
    <row r="8" spans="1:9" ht="15" thickBot="1" x14ac:dyDescent="0.4">
      <c r="A8" s="1">
        <v>6007</v>
      </c>
      <c r="B8" s="2" t="s">
        <v>18</v>
      </c>
      <c r="C8" s="2" t="s">
        <v>14</v>
      </c>
      <c r="D8" s="2">
        <v>76</v>
      </c>
      <c r="E8" s="2" t="s">
        <v>19</v>
      </c>
      <c r="F8" s="2" t="s">
        <v>12</v>
      </c>
      <c r="G8">
        <f>COUNTIF(E:E,"smart*")</f>
        <v>11</v>
      </c>
    </row>
    <row r="9" spans="1:9" ht="15" thickBot="1" x14ac:dyDescent="0.4">
      <c r="A9" s="1">
        <v>6008</v>
      </c>
      <c r="B9" s="2" t="s">
        <v>18</v>
      </c>
      <c r="C9" s="2" t="s">
        <v>14</v>
      </c>
      <c r="D9" s="2">
        <v>1</v>
      </c>
      <c r="E9" s="2" t="s">
        <v>20</v>
      </c>
      <c r="F9" s="2" t="s">
        <v>9</v>
      </c>
    </row>
    <row r="10" spans="1:9" ht="15" thickBot="1" x14ac:dyDescent="0.4">
      <c r="A10" s="1">
        <v>6009</v>
      </c>
      <c r="B10" s="2" t="s">
        <v>18</v>
      </c>
      <c r="C10" s="2" t="s">
        <v>14</v>
      </c>
      <c r="D10" s="2">
        <v>71</v>
      </c>
      <c r="E10" s="2" t="s">
        <v>20</v>
      </c>
      <c r="F10" s="2" t="s">
        <v>21</v>
      </c>
      <c r="G10" s="7" t="s">
        <v>33</v>
      </c>
      <c r="H10" s="8"/>
      <c r="I10" s="8"/>
    </row>
    <row r="11" spans="1:9" ht="15" thickBot="1" x14ac:dyDescent="0.4">
      <c r="A11" s="1">
        <v>6010</v>
      </c>
      <c r="B11" s="2" t="s">
        <v>18</v>
      </c>
      <c r="C11" s="2" t="s">
        <v>11</v>
      </c>
      <c r="D11" s="2">
        <v>66</v>
      </c>
      <c r="E11" s="2" t="s">
        <v>22</v>
      </c>
      <c r="F11" s="2" t="s">
        <v>16</v>
      </c>
      <c r="G11">
        <f>COUNTIFS(B:B,"west",F:F,"upi",D:D,"&gt;20")</f>
        <v>1</v>
      </c>
    </row>
    <row r="12" spans="1:9" ht="15" thickBot="1" x14ac:dyDescent="0.4">
      <c r="A12" s="1">
        <v>6011</v>
      </c>
      <c r="B12" s="2" t="s">
        <v>13</v>
      </c>
      <c r="C12" s="2" t="s">
        <v>7</v>
      </c>
      <c r="D12" s="2">
        <v>99</v>
      </c>
      <c r="E12" s="2" t="s">
        <v>20</v>
      </c>
      <c r="F12" s="2" t="s">
        <v>9</v>
      </c>
    </row>
    <row r="13" spans="1:9" ht="15" thickBot="1" x14ac:dyDescent="0.4">
      <c r="A13" s="1">
        <v>6012</v>
      </c>
      <c r="B13" s="2" t="s">
        <v>13</v>
      </c>
      <c r="C13" s="2" t="s">
        <v>23</v>
      </c>
      <c r="D13" s="2">
        <v>50</v>
      </c>
      <c r="E13" s="2" t="s">
        <v>20</v>
      </c>
      <c r="F13" s="2" t="s">
        <v>16</v>
      </c>
    </row>
    <row r="14" spans="1:9" ht="15" thickBot="1" x14ac:dyDescent="0.4">
      <c r="A14" s="1">
        <v>6013</v>
      </c>
      <c r="B14" s="2" t="s">
        <v>13</v>
      </c>
      <c r="C14" s="2" t="s">
        <v>11</v>
      </c>
      <c r="D14" s="2">
        <v>27</v>
      </c>
      <c r="E14" s="2" t="s">
        <v>17</v>
      </c>
      <c r="F14" s="2" t="s">
        <v>9</v>
      </c>
    </row>
    <row r="15" spans="1:9" ht="15" thickBot="1" x14ac:dyDescent="0.4">
      <c r="A15" s="1">
        <v>6014</v>
      </c>
      <c r="B15" s="2" t="s">
        <v>6</v>
      </c>
      <c r="C15" s="2" t="s">
        <v>14</v>
      </c>
      <c r="D15" s="2">
        <v>54</v>
      </c>
      <c r="E15" s="2" t="s">
        <v>20</v>
      </c>
      <c r="F15" s="2" t="s">
        <v>12</v>
      </c>
    </row>
    <row r="16" spans="1:9" ht="15" thickBot="1" x14ac:dyDescent="0.4">
      <c r="A16" s="1">
        <v>6015</v>
      </c>
      <c r="B16" s="2" t="s">
        <v>18</v>
      </c>
      <c r="C16" s="2" t="s">
        <v>23</v>
      </c>
      <c r="D16" s="2">
        <v>12</v>
      </c>
      <c r="E16" s="2" t="s">
        <v>22</v>
      </c>
      <c r="F16" s="2" t="s">
        <v>21</v>
      </c>
    </row>
    <row r="17" spans="1:6" ht="15" thickBot="1" x14ac:dyDescent="0.4">
      <c r="A17" s="1">
        <v>6016</v>
      </c>
      <c r="B17" s="2" t="s">
        <v>13</v>
      </c>
      <c r="C17" s="2" t="s">
        <v>14</v>
      </c>
      <c r="D17" s="2">
        <v>98</v>
      </c>
      <c r="E17" s="2" t="s">
        <v>20</v>
      </c>
      <c r="F17" s="2" t="s">
        <v>12</v>
      </c>
    </row>
    <row r="18" spans="1:6" ht="15" thickBot="1" x14ac:dyDescent="0.4">
      <c r="A18" s="1">
        <v>6017</v>
      </c>
      <c r="B18" s="2" t="s">
        <v>10</v>
      </c>
      <c r="C18" s="2" t="s">
        <v>24</v>
      </c>
      <c r="D18" s="2">
        <v>2</v>
      </c>
      <c r="E18" s="2" t="s">
        <v>17</v>
      </c>
      <c r="F18" s="2" t="s">
        <v>9</v>
      </c>
    </row>
    <row r="19" spans="1:6" ht="15" thickBot="1" x14ac:dyDescent="0.4">
      <c r="A19" s="1">
        <v>6018</v>
      </c>
      <c r="B19" s="2" t="s">
        <v>6</v>
      </c>
      <c r="C19" s="2" t="s">
        <v>11</v>
      </c>
      <c r="D19" s="2">
        <v>88</v>
      </c>
      <c r="E19" s="2" t="s">
        <v>25</v>
      </c>
      <c r="F19" s="2" t="s">
        <v>12</v>
      </c>
    </row>
    <row r="20" spans="1:6" ht="15" thickBot="1" x14ac:dyDescent="0.4">
      <c r="A20" s="1">
        <v>6019</v>
      </c>
      <c r="B20" s="2" t="s">
        <v>6</v>
      </c>
      <c r="C20" s="2" t="s">
        <v>7</v>
      </c>
      <c r="D20" s="2">
        <v>25</v>
      </c>
      <c r="E20" s="2" t="s">
        <v>15</v>
      </c>
      <c r="F20" s="2" t="s">
        <v>9</v>
      </c>
    </row>
    <row r="21" spans="1:6" ht="15" thickBot="1" x14ac:dyDescent="0.4">
      <c r="A21" s="1">
        <v>6020</v>
      </c>
      <c r="B21" s="2" t="s">
        <v>6</v>
      </c>
      <c r="C21" s="2" t="s">
        <v>24</v>
      </c>
      <c r="D21" s="2">
        <v>51</v>
      </c>
      <c r="E21" s="2" t="s">
        <v>26</v>
      </c>
      <c r="F21" s="2" t="s">
        <v>12</v>
      </c>
    </row>
    <row r="22" spans="1:6" ht="15" thickBot="1" x14ac:dyDescent="0.4">
      <c r="A22" s="1">
        <v>6021</v>
      </c>
      <c r="B22" s="2" t="s">
        <v>13</v>
      </c>
      <c r="C22" s="2" t="s">
        <v>23</v>
      </c>
      <c r="D22" s="2">
        <v>76</v>
      </c>
      <c r="E22" s="2" t="s">
        <v>22</v>
      </c>
      <c r="F22" s="2" t="s">
        <v>16</v>
      </c>
    </row>
    <row r="23" spans="1:6" ht="15" thickBot="1" x14ac:dyDescent="0.4">
      <c r="A23" s="1">
        <v>6022</v>
      </c>
      <c r="B23" s="2" t="s">
        <v>10</v>
      </c>
      <c r="C23" s="2" t="s">
        <v>11</v>
      </c>
      <c r="D23" s="2">
        <v>51</v>
      </c>
      <c r="E23" s="2" t="s">
        <v>27</v>
      </c>
      <c r="F23" s="2" t="s">
        <v>16</v>
      </c>
    </row>
    <row r="24" spans="1:6" ht="15" thickBot="1" x14ac:dyDescent="0.4">
      <c r="A24" s="1">
        <v>6023</v>
      </c>
      <c r="B24" s="2" t="s">
        <v>13</v>
      </c>
      <c r="C24" s="2" t="s">
        <v>11</v>
      </c>
      <c r="D24" s="2">
        <v>28</v>
      </c>
      <c r="E24" s="2" t="s">
        <v>8</v>
      </c>
      <c r="F24" s="2" t="s">
        <v>21</v>
      </c>
    </row>
    <row r="25" spans="1:6" ht="15" thickBot="1" x14ac:dyDescent="0.4">
      <c r="A25" s="1">
        <v>6024</v>
      </c>
      <c r="B25" s="2" t="s">
        <v>13</v>
      </c>
      <c r="C25" s="2" t="s">
        <v>7</v>
      </c>
      <c r="D25" s="2">
        <v>43</v>
      </c>
      <c r="E25" s="2" t="s">
        <v>22</v>
      </c>
      <c r="F25" s="2" t="s">
        <v>9</v>
      </c>
    </row>
    <row r="26" spans="1:6" ht="15" thickBot="1" x14ac:dyDescent="0.4">
      <c r="A26" s="1">
        <v>6025</v>
      </c>
      <c r="B26" s="2" t="s">
        <v>13</v>
      </c>
      <c r="C26" s="2" t="s">
        <v>24</v>
      </c>
      <c r="D26" s="2">
        <v>12</v>
      </c>
      <c r="E26" s="2" t="s">
        <v>19</v>
      </c>
      <c r="F26" s="2" t="s">
        <v>12</v>
      </c>
    </row>
    <row r="27" spans="1:6" ht="15" thickBot="1" x14ac:dyDescent="0.4">
      <c r="A27" s="1">
        <v>6026</v>
      </c>
      <c r="B27" s="2" t="s">
        <v>13</v>
      </c>
      <c r="C27" s="2" t="s">
        <v>7</v>
      </c>
      <c r="D27" s="2">
        <v>48</v>
      </c>
      <c r="E27" s="2" t="s">
        <v>28</v>
      </c>
      <c r="F27" s="2" t="s">
        <v>9</v>
      </c>
    </row>
    <row r="28" spans="1:6" ht="15" thickBot="1" x14ac:dyDescent="0.4">
      <c r="A28" s="1">
        <v>6027</v>
      </c>
      <c r="B28" s="2" t="s">
        <v>10</v>
      </c>
      <c r="C28" s="2" t="s">
        <v>7</v>
      </c>
      <c r="D28" s="2">
        <v>62</v>
      </c>
      <c r="E28" s="2" t="s">
        <v>27</v>
      </c>
      <c r="F28" s="2" t="s">
        <v>12</v>
      </c>
    </row>
    <row r="29" spans="1:6" ht="15" thickBot="1" x14ac:dyDescent="0.4">
      <c r="A29" s="1">
        <v>6028</v>
      </c>
      <c r="B29" s="2" t="s">
        <v>6</v>
      </c>
      <c r="C29" s="2" t="s">
        <v>11</v>
      </c>
      <c r="D29" s="2">
        <v>81</v>
      </c>
      <c r="E29" s="2" t="s">
        <v>15</v>
      </c>
      <c r="F29" s="2" t="s">
        <v>21</v>
      </c>
    </row>
    <row r="30" spans="1:6" ht="15" thickBot="1" x14ac:dyDescent="0.4">
      <c r="A30" s="1">
        <v>6029</v>
      </c>
      <c r="B30" s="2" t="s">
        <v>10</v>
      </c>
      <c r="C30" s="2" t="s">
        <v>7</v>
      </c>
      <c r="D30" s="2">
        <v>32</v>
      </c>
      <c r="E30" s="2" t="s">
        <v>19</v>
      </c>
      <c r="F30" s="2" t="s">
        <v>12</v>
      </c>
    </row>
    <row r="31" spans="1:6" ht="15" thickBot="1" x14ac:dyDescent="0.4">
      <c r="A31" s="1">
        <v>6030</v>
      </c>
      <c r="B31" s="2" t="s">
        <v>10</v>
      </c>
      <c r="C31" s="2" t="s">
        <v>14</v>
      </c>
      <c r="D31" s="2">
        <v>62</v>
      </c>
      <c r="E31" s="2" t="s">
        <v>27</v>
      </c>
      <c r="F31" s="2" t="s">
        <v>16</v>
      </c>
    </row>
    <row r="32" spans="1:6" ht="15" thickBot="1" x14ac:dyDescent="0.4">
      <c r="A32" s="1">
        <v>6031</v>
      </c>
      <c r="B32" s="2" t="s">
        <v>6</v>
      </c>
      <c r="C32" s="2" t="s">
        <v>24</v>
      </c>
      <c r="D32" s="2">
        <v>14</v>
      </c>
      <c r="E32" s="2" t="s">
        <v>20</v>
      </c>
      <c r="F32" s="2" t="s">
        <v>16</v>
      </c>
    </row>
    <row r="33" spans="1:6" ht="15" thickBot="1" x14ac:dyDescent="0.4">
      <c r="A33" s="1">
        <v>6032</v>
      </c>
      <c r="B33" s="2" t="s">
        <v>18</v>
      </c>
      <c r="C33" s="2" t="s">
        <v>11</v>
      </c>
      <c r="D33" s="2">
        <v>95</v>
      </c>
      <c r="E33" s="2" t="s">
        <v>26</v>
      </c>
      <c r="F33" s="2" t="s">
        <v>21</v>
      </c>
    </row>
    <row r="34" spans="1:6" ht="15" thickBot="1" x14ac:dyDescent="0.4">
      <c r="A34" s="1">
        <v>6033</v>
      </c>
      <c r="B34" s="2" t="s">
        <v>6</v>
      </c>
      <c r="C34" s="2" t="s">
        <v>7</v>
      </c>
      <c r="D34" s="2">
        <v>63</v>
      </c>
      <c r="E34" s="2" t="s">
        <v>22</v>
      </c>
      <c r="F34" s="2" t="s">
        <v>12</v>
      </c>
    </row>
    <row r="35" spans="1:6" ht="15" thickBot="1" x14ac:dyDescent="0.4">
      <c r="A35" s="1">
        <v>6034</v>
      </c>
      <c r="B35" s="2" t="s">
        <v>13</v>
      </c>
      <c r="C35" s="2" t="s">
        <v>11</v>
      </c>
      <c r="D35" s="2">
        <v>30</v>
      </c>
      <c r="E35" s="2" t="s">
        <v>8</v>
      </c>
      <c r="F35" s="2" t="s">
        <v>16</v>
      </c>
    </row>
    <row r="36" spans="1:6" ht="15" thickBot="1" x14ac:dyDescent="0.4">
      <c r="A36" s="1">
        <v>6035</v>
      </c>
      <c r="B36" s="2" t="s">
        <v>18</v>
      </c>
      <c r="C36" s="2" t="s">
        <v>11</v>
      </c>
      <c r="D36" s="2">
        <v>27</v>
      </c>
      <c r="E36" s="2" t="s">
        <v>17</v>
      </c>
      <c r="F36" s="2" t="s">
        <v>16</v>
      </c>
    </row>
    <row r="37" spans="1:6" ht="15" thickBot="1" x14ac:dyDescent="0.4">
      <c r="A37" s="1">
        <v>6036</v>
      </c>
      <c r="B37" s="2" t="s">
        <v>18</v>
      </c>
      <c r="C37" s="2" t="s">
        <v>14</v>
      </c>
      <c r="D37" s="2">
        <v>58</v>
      </c>
      <c r="E37" s="2" t="s">
        <v>19</v>
      </c>
      <c r="F37" s="2" t="s">
        <v>16</v>
      </c>
    </row>
    <row r="38" spans="1:6" ht="15" thickBot="1" x14ac:dyDescent="0.4">
      <c r="A38" s="1">
        <v>6037</v>
      </c>
      <c r="B38" s="2" t="s">
        <v>13</v>
      </c>
      <c r="C38" s="2" t="s">
        <v>11</v>
      </c>
      <c r="D38" s="2">
        <v>37</v>
      </c>
      <c r="E38" s="2" t="s">
        <v>28</v>
      </c>
      <c r="F38" s="2" t="s">
        <v>12</v>
      </c>
    </row>
    <row r="39" spans="1:6" ht="15" thickBot="1" x14ac:dyDescent="0.4">
      <c r="A39" s="1">
        <v>6038</v>
      </c>
      <c r="B39" s="2" t="s">
        <v>13</v>
      </c>
      <c r="C39" s="2" t="s">
        <v>23</v>
      </c>
      <c r="D39" s="2">
        <v>18</v>
      </c>
      <c r="E39" s="2" t="s">
        <v>8</v>
      </c>
      <c r="F39" s="2" t="s">
        <v>21</v>
      </c>
    </row>
    <row r="40" spans="1:6" ht="15" thickBot="1" x14ac:dyDescent="0.4">
      <c r="A40" s="1">
        <v>6039</v>
      </c>
      <c r="B40" s="2" t="s">
        <v>10</v>
      </c>
      <c r="C40" s="2" t="s">
        <v>7</v>
      </c>
      <c r="D40" s="2">
        <v>5</v>
      </c>
      <c r="E40" s="2" t="s">
        <v>17</v>
      </c>
      <c r="F40" s="2" t="s">
        <v>9</v>
      </c>
    </row>
    <row r="41" spans="1:6" ht="15" thickBot="1" x14ac:dyDescent="0.4">
      <c r="A41" s="1">
        <v>6040</v>
      </c>
      <c r="B41" s="2" t="s">
        <v>18</v>
      </c>
      <c r="C41" s="2" t="s">
        <v>23</v>
      </c>
      <c r="D41" s="2">
        <v>5</v>
      </c>
      <c r="E41" s="2" t="s">
        <v>17</v>
      </c>
      <c r="F41" s="2" t="s">
        <v>16</v>
      </c>
    </row>
  </sheetData>
  <mergeCells count="3">
    <mergeCell ref="G4:H4"/>
    <mergeCell ref="G7:H7"/>
    <mergeCell ref="G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2026-07-20T16:33:57Z</dcterms:created>
  <dcterms:modified xsi:type="dcterms:W3CDTF">2026-07-20T16:52:33Z</dcterms:modified>
</cp:coreProperties>
</file>